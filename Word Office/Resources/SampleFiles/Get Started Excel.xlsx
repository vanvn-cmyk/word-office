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656ad0cca45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11267eb4f3e42a6"/>
    <x:sheet xmlns:r="http://schemas.openxmlformats.org/officeDocument/2006/relationships" name="Sales Pipeline" sheetId="2" r:id="R4218558a0ac7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yyyy-mm-dd"/>
    <x:numFmt numFmtId="202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1991e05d3246df" /><Relationship Type="http://schemas.openxmlformats.org/officeDocument/2006/relationships/theme" Target="/xl/theme/theme1.xml" Id="R2679464e3b88481b" /><Relationship Type="http://schemas.openxmlformats.org/officeDocument/2006/relationships/sharedStrings" Target="/xl/sharedStrings.xml" Id="Rf465bdce09d741b8" /><Relationship Type="http://schemas.openxmlformats.org/officeDocument/2006/relationships/worksheet" Target="/xl/worksheets/sheet1.xml" Id="R311267eb4f3e42a6" /><Relationship Type="http://schemas.openxmlformats.org/officeDocument/2006/relationships/worksheet" Target="/xl/worksheets/sheet2.xml" Id="R4218558a0ac748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d411373d304c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Pipeline Value by Stage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Opportunities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Value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d411373d304c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335f50183fa4e8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1" t="str">
        <x:v>Sales Pipeline – Get Started</x:v>
      </x:c>
      <x:c r="B1" s="22"/>
      <x:c r="C1" s="22"/>
      <x:c r="D1" s="22"/>
      <x:c r="E1" s="22"/>
      <x:c r="F1" s="22"/>
      <x:c r="G1" s="22"/>
      <x:c r="H1" s="22"/>
    </x:row>
    <x:row r="2">
      <x:c r="A2" s="22"/>
      <x:c r="B2" s="22"/>
      <x:c r="C2" s="22"/>
      <x:c r="D2" s="22"/>
      <x:c r="E2" s="22"/>
      <x:c r="F2" s="22"/>
      <x:c r="G2" s="22"/>
      <x:c r="H2" s="22"/>
    </x:row>
    <x:row r="3">
      <x:c r="A3" s="23" t="str">
        <x:v>KPI</x:v>
      </x:c>
      <x:c r="B3" s="23" t="str">
        <x:v>Value</x:v>
      </x:c>
      <x:c r="C3" s="22"/>
      <x:c r="D3" s="22"/>
      <x:c r="E3" s="22"/>
      <x:c r="F3" s="22"/>
      <x:c r="G3" s="22"/>
      <x:c r="H3" s="22"/>
    </x:row>
    <x:row r="4">
      <x:c r="A4" s="22" t="str">
        <x:v>Open Opportunities</x:v>
      </x:c>
      <x:c r="B4" s="22" t="n">
        <x:f>COUNTIF('Sales Pipeline'!H2:H20,"Prospecting")+COUNTIF('Sales Pipeline'!H2:H20,"Qualified")+COUNTIF('Sales Pipeline'!H2:H20,"Proposal")+COUNTIF('Sales Pipeline'!H2:H20,"Negotiation")</x:f>
        <x:v>7</x:v>
      </x:c>
      <x:c r="C4" s="22"/>
      <x:c r="D4" s="22"/>
      <x:c r="E4" s="22"/>
      <x:c r="F4" s="22"/>
      <x:c r="G4" s="22"/>
      <x:c r="H4" s="22"/>
    </x:row>
    <x:row r="5">
      <x:c r="A5" s="22" t="str">
        <x:v>Pipeline Value</x:v>
      </x:c>
      <x:c r="B5" s="24" t="n">
        <x:f>SUM('Sales Pipeline'!F2:F20)</x:f>
        <x:v>227000</x:v>
      </x:c>
      <x:c r="C5" s="22"/>
      <x:c r="D5" s="22"/>
      <x:c r="E5" s="22"/>
      <x:c r="F5" s="22"/>
      <x:c r="G5" s="22"/>
      <x:c r="H5" s="22"/>
    </x:row>
    <x:row r="6">
      <x:c r="A6" s="22" t="str">
        <x:v>Weighted Pipeline</x:v>
      </x:c>
      <x:c r="B6" s="24" t="n">
        <x:f>SUMPRODUCT('Sales Pipeline'!F2:F20,'Sales Pipeline'!G2:G20)</x:f>
        <x:v>122550</x:v>
      </x:c>
      <x:c r="C6" s="22"/>
      <x:c r="D6" s="22"/>
      <x:c r="E6" s="22"/>
      <x:c r="F6" s="22"/>
      <x:c r="G6" s="22"/>
      <x:c r="H6" s="22"/>
    </x:row>
    <x:row r="7">
      <x:c r="A7" s="22" t="str">
        <x:v>Won Revenue</x:v>
      </x:c>
      <x:c r="B7" s="24" t="n">
        <x:f>SUMIF('Sales Pipeline'!H2:H20,"Won",'Sales Pipeline'!F2:F20)</x:f>
        <x:v>56000</x:v>
      </x:c>
      <x:c r="C7" s="22"/>
      <x:c r="D7" s="22"/>
      <x:c r="E7" s="22"/>
      <x:c r="F7" s="22"/>
      <x:c r="G7" s="22"/>
      <x:c r="H7" s="22"/>
    </x:row>
    <x:row r="8">
      <x:c r="A8" s="22"/>
      <x:c r="B8" s="22"/>
      <x:c r="C8" s="22"/>
      <x:c r="D8" s="22"/>
      <x:c r="E8" s="22"/>
      <x:c r="F8" s="22"/>
      <x:c r="G8" s="22"/>
      <x:c r="H8" s="22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25" t="str">
        <x:v>Stage</x:v>
      </x:c>
      <x:c r="B10" s="25" t="str">
        <x:v>Opportunities</x:v>
      </x:c>
      <x:c r="C10" s="25" t="str">
        <x:v>Value</x:v>
      </x:c>
      <x:c r="D10" s="25" t="str">
        <x:v>Weighted Value</x:v>
      </x:c>
      <x:c r="E10" s="22"/>
      <x:c r="F10" s="22"/>
      <x:c r="G10" s="22"/>
      <x:c r="H10" s="22"/>
    </x:row>
    <x:row r="11">
      <x:c r="A11" s="22" t="str">
        <x:v>Prospecting</x:v>
      </x:c>
      <x:c r="B11" s="22" t="n">
        <x:f>COUNTIF('Sales Pipeline'!H2:H20,A11)</x:f>
        <x:v>2</x:v>
      </x:c>
      <x:c r="C11" s="24" t="n">
        <x:f>SUMIF('Sales Pipeline'!H2:H20,A11,'Sales Pipeline'!F2:F20)</x:f>
        <x:v>49000</x:v>
      </x:c>
      <x:c r="D11" s="24" t="n">
        <x:f>SUMPRODUCT(('Sales Pipeline'!H2:H20=A11)*'Sales Pipeline'!F2:F20*'Sales Pipeline'!G2:G20)</x:f>
        <x:v>9550</x:v>
      </x:c>
      <x:c r="E11" s="22"/>
      <x:c r="F11" s="22"/>
      <x:c r="G11" s="22"/>
      <x:c r="H11" s="22"/>
    </x:row>
    <x:row r="12">
      <x:c r="A12" s="22" t="str">
        <x:v>Qualified</x:v>
      </x:c>
      <x:c r="B12" s="22" t="n">
        <x:f>COUNTIF('Sales Pipeline'!H3:H21,A12)</x:f>
        <x:v>1</x:v>
      </x:c>
      <x:c r="C12" s="24" t="n">
        <x:f>SUMIF('Sales Pipeline'!H3:H21,A12,'Sales Pipeline'!F3:F21)</x:f>
        <x:v>12000</x:v>
      </x:c>
      <x:c r="D12" s="24" t="n">
        <x:f>SUMPRODUCT(('Sales Pipeline'!H3:H21=A12)*'Sales Pipeline'!F3:F21*'Sales Pipeline'!G3:G21)</x:f>
        <x:v>5400</x:v>
      </x:c>
      <x:c r="E12" s="22"/>
      <x:c r="F12" s="22"/>
      <x:c r="G12" s="22"/>
      <x:c r="H12" s="22"/>
    </x:row>
    <x:row r="13">
      <x:c r="A13" s="22" t="str">
        <x:v>Proposal</x:v>
      </x:c>
      <x:c r="B13" s="22" t="n">
        <x:f>COUNTIF('Sales Pipeline'!H4:H22,A13)</x:f>
        <x:v>1</x:v>
      </x:c>
      <x:c r="C13" s="24" t="n">
        <x:f>SUMIF('Sales Pipeline'!H4:H22,A13,'Sales Pipeline'!F4:F22)</x:f>
        <x:v>15000</x:v>
      </x:c>
      <x:c r="D13" s="24" t="n">
        <x:f>SUMPRODUCT(('Sales Pipeline'!H4:H22=A13)*'Sales Pipeline'!F4:F22*'Sales Pipeline'!G4:G22)</x:f>
        <x:v>9000</x:v>
      </x:c>
      <x:c r="E13" s="22"/>
      <x:c r="F13" s="22"/>
      <x:c r="G13" s="22"/>
      <x:c r="H13" s="22"/>
    </x:row>
    <x:row r="14">
      <x:c r="A14" s="22" t="str">
        <x:v>Negotiation</x:v>
      </x:c>
      <x:c r="B14" s="22" t="n">
        <x:f>COUNTIF('Sales Pipeline'!H5:H23,A14)</x:f>
        <x:v>0</x:v>
      </x:c>
      <x:c r="C14" s="24" t="n">
        <x:f>SUMIF('Sales Pipeline'!H5:H23,A14,'Sales Pipeline'!F5:F23)</x:f>
        <x:v>0</x:v>
      </x:c>
      <x:c r="D14" s="24" t="n">
        <x:f>SUMPRODUCT(('Sales Pipeline'!H5:H23=A14)*'Sales Pipeline'!F5:F23*'Sales Pipeline'!G5:G23)</x:f>
        <x:v>0</x:v>
      </x:c>
      <x:c r="E14" s="22"/>
      <x:c r="F14" s="22"/>
      <x:c r="G14" s="22"/>
      <x:c r="H14" s="22"/>
    </x:row>
    <x:row r="15">
      <x:c r="A15" s="22" t="str">
        <x:v>Won</x:v>
      </x:c>
      <x:c r="B15" s="22" t="n">
        <x:f>COUNTIF('Sales Pipeline'!H6:H24,A15)</x:f>
        <x:v>1</x:v>
      </x:c>
      <x:c r="C15" s="24" t="n">
        <x:f>SUMIF('Sales Pipeline'!H6:H24,A15,'Sales Pipeline'!F6:F24)</x:f>
        <x:v>56000</x:v>
      </x:c>
      <x:c r="D15" s="24" t="n">
        <x:f>SUMPRODUCT(('Sales Pipeline'!H6:H24=A15)*'Sales Pipeline'!F6:F24*'Sales Pipeline'!G6:G24)</x:f>
        <x:v>44800</x:v>
      </x:c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2"/>
      <x:c r="B17" s="22"/>
      <x:c r="C17" s="22"/>
      <x:c r="D17" s="22"/>
      <x:c r="E17" s="22"/>
      <x:c r="F17" s="22"/>
      <x:c r="G17" s="22"/>
      <x:c r="H17" s="22"/>
    </x:row>
    <x:row r="18">
      <x:c r="A18" s="22"/>
      <x:c r="B18" s="22"/>
      <x:c r="C18" s="22"/>
      <x:c r="D18" s="22"/>
      <x:c r="E18" s="22"/>
      <x:c r="F18" s="22"/>
      <x:c r="G18" s="22"/>
      <x:c r="H18" s="22"/>
    </x:row>
    <x:row r="19">
      <x:c r="A19" s="22"/>
      <x:c r="B19" s="22"/>
      <x:c r="C19" s="22"/>
      <x:c r="D19" s="22"/>
      <x:c r="E19" s="22"/>
      <x:c r="F19" s="22"/>
      <x:c r="G19" s="22"/>
      <x:c r="H19" s="22"/>
    </x:row>
    <x:row r="20">
      <x:c r="A20" s="22"/>
      <x:c r="B20" s="22"/>
      <x:c r="C20" s="22"/>
      <x:c r="D20" s="22"/>
      <x:c r="E20" s="22"/>
      <x:c r="F20" s="22"/>
      <x:c r="G20" s="22"/>
      <x:c r="H20" s="22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335f50183fa4e86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30" hidden="0" customWidth="1"/>
  </x:cols>
  <x:sheetData>
    <x:row r="1">
      <x:c r="A1" s="34" t="str">
        <x:v>Company</x:v>
      </x:c>
      <x:c r="B1" s="34" t="str">
        <x:v>Contact</x:v>
      </x:c>
      <x:c r="C1" s="34" t="str">
        <x:v>Owner</x:v>
      </x:c>
      <x:c r="D1" s="34" t="str">
        <x:v>Segment</x:v>
      </x:c>
      <x:c r="E1" s="34" t="str">
        <x:v>Last Contact</x:v>
      </x:c>
      <x:c r="F1" s="34" t="str">
        <x:v>Deal Value</x:v>
      </x:c>
      <x:c r="G1" s="34" t="str">
        <x:v>Win Probability</x:v>
      </x:c>
      <x:c r="H1" s="34" t="str">
        <x:v>Stage</x:v>
      </x:c>
      <x:c r="I1" s="34" t="str">
        <x:v>Next Step</x:v>
      </x:c>
    </x:row>
    <x:row r="2">
      <x:c r="A2" s="22" t="str">
        <x:v>Northstar Retail</x:v>
      </x:c>
      <x:c r="B2" s="22" t="str">
        <x:v>Emma Davis</x:v>
      </x:c>
      <x:c r="C2" s="22" t="str">
        <x:v>Alex</x:v>
      </x:c>
      <x:c r="D2" s="22" t="str">
        <x:v>Retail</x:v>
      </x:c>
      <x:c r="E2" s="43" t="n">
        <x:v>46270</x:v>
      </x:c>
      <x:c r="F2" s="24" t="n">
        <x:v>18000</x:v>
      </x:c>
      <x:c r="G2" s="44" t="n">
        <x:v>0.35</x:v>
      </x:c>
      <x:c r="H2" s="22" t="str">
        <x:v>Qualified</x:v>
      </x:c>
      <x:c r="I2" s="22" t="str">
        <x:v>Schedule discovery call</x:v>
      </x:c>
    </x:row>
    <x:row r="3">
      <x:c r="A3" s="22" t="str">
        <x:v>BrightPath Health</x:v>
      </x:c>
      <x:c r="B3" s="22" t="str">
        <x:v>Daniel Lee</x:v>
      </x:c>
      <x:c r="C3" s="22" t="str">
        <x:v>Mia</x:v>
      </x:c>
      <x:c r="D3" s="22" t="str">
        <x:v>Healthcare</x:v>
      </x:c>
      <x:c r="E3" s="43" t="n">
        <x:v>46269</x:v>
      </x:c>
      <x:c r="F3" s="24" t="n">
        <x:v>32000</x:v>
      </x:c>
      <x:c r="G3" s="44" t="n">
        <x:v>0.5</x:v>
      </x:c>
      <x:c r="H3" s="22" t="str">
        <x:v>Proposal</x:v>
      </x:c>
      <x:c r="I3" s="22" t="str">
        <x:v>Send proposal</x:v>
      </x:c>
    </x:row>
    <x:row r="4">
      <x:c r="A4" s="22" t="str">
        <x:v>Orbit Finance</x:v>
      </x:c>
      <x:c r="B4" s="22" t="str">
        <x:v>Sophia Chen</x:v>
      </x:c>
      <x:c r="C4" s="22" t="str">
        <x:v>Alex</x:v>
      </x:c>
      <x:c r="D4" s="22" t="str">
        <x:v>Finance</x:v>
      </x:c>
      <x:c r="E4" s="43" t="n">
        <x:v>46272</x:v>
      </x:c>
      <x:c r="F4" s="24" t="n">
        <x:v>45000</x:v>
      </x:c>
      <x:c r="G4" s="44" t="n">
        <x:v>0.7</x:v>
      </x:c>
      <x:c r="H4" s="22" t="str">
        <x:v>Negotiation</x:v>
      </x:c>
      <x:c r="I4" s="22" t="str">
        <x:v>Confirm commercial terms</x:v>
      </x:c>
    </x:row>
    <x:row r="5">
      <x:c r="A5" s="22" t="str">
        <x:v>Greenline Logistics</x:v>
      </x:c>
      <x:c r="B5" s="22" t="str">
        <x:v>Noah Wilson</x:v>
      </x:c>
      <x:c r="C5" s="22" t="str">
        <x:v>Sam</x:v>
      </x:c>
      <x:c r="D5" s="22" t="str">
        <x:v>Logistics</x:v>
      </x:c>
      <x:c r="E5" s="43" t="n">
        <x:v>46267</x:v>
      </x:c>
      <x:c r="F5" s="24" t="n">
        <x:v>22000</x:v>
      </x:c>
      <x:c r="G5" s="44" t="n">
        <x:v>0.25</x:v>
      </x:c>
      <x:c r="H5" s="22" t="str">
        <x:v>Prospecting</x:v>
      </x:c>
      <x:c r="I5" s="22" t="str">
        <x:v>Book first meeting</x:v>
      </x:c>
    </x:row>
    <x:row r="6">
      <x:c r="A6" s="22" t="str">
        <x:v>Harbor Foods</x:v>
      </x:c>
      <x:c r="B6" s="22" t="str">
        <x:v>Olivia Brown</x:v>
      </x:c>
      <x:c r="C6" s="22" t="str">
        <x:v>Mia</x:v>
      </x:c>
      <x:c r="D6" s="22" t="str">
        <x:v>FMCG</x:v>
      </x:c>
      <x:c r="E6" s="43" t="n">
        <x:v>46271</x:v>
      </x:c>
      <x:c r="F6" s="24" t="n">
        <x:v>15000</x:v>
      </x:c>
      <x:c r="G6" s="44" t="n">
        <x:v>0.6</x:v>
      </x:c>
      <x:c r="H6" s="22" t="str">
        <x:v>Proposal</x:v>
      </x:c>
      <x:c r="I6" s="22" t="str">
        <x:v>Follow up with decision maker</x:v>
      </x:c>
    </x:row>
    <x:row r="7">
      <x:c r="A7" s="22" t="str">
        <x:v>Summit Energy</x:v>
      </x:c>
      <x:c r="B7" s="22" t="str">
        <x:v>Liam Taylor</x:v>
      </x:c>
      <x:c r="C7" s="22" t="str">
        <x:v>Sam</x:v>
      </x:c>
      <x:c r="D7" s="22" t="str">
        <x:v>Energy</x:v>
      </x:c>
      <x:c r="E7" s="43" t="n">
        <x:v>46266</x:v>
      </x:c>
      <x:c r="F7" s="24" t="n">
        <x:v>56000</x:v>
      </x:c>
      <x:c r="G7" s="44" t="n">
        <x:v>0.8</x:v>
      </x:c>
      <x:c r="H7" s="22" t="str">
        <x:v>Won</x:v>
      </x:c>
      <x:c r="I7" s="22" t="str">
        <x:v>Prepare onboarding</x:v>
      </x:c>
    </x:row>
    <x:row r="8">
      <x:c r="A8" s="22" t="str">
        <x:v>UrbanWorks</x:v>
      </x:c>
      <x:c r="B8" s="22" t="str">
        <x:v>Ava Martin</x:v>
      </x:c>
      <x:c r="C8" s="22" t="str">
        <x:v>Alex</x:v>
      </x:c>
      <x:c r="D8" s="22" t="str">
        <x:v>Real Estate</x:v>
      </x:c>
      <x:c r="E8" s="43" t="n">
        <x:v>46264</x:v>
      </x:c>
      <x:c r="F8" s="24" t="n">
        <x:v>27000</x:v>
      </x:c>
      <x:c r="G8" s="44" t="n">
        <x:v>0.15</x:v>
      </x:c>
      <x:c r="H8" s="22" t="str">
        <x:v>Prospecting</x:v>
      </x:c>
      <x:c r="I8" s="22" t="str">
        <x:v>Qualify opportunity</x:v>
      </x:c>
    </x:row>
    <x:row r="9">
      <x:c r="A9" s="22" t="str">
        <x:v>BluePeak Travel</x:v>
      </x:c>
      <x:c r="B9" s="22" t="str">
        <x:v>James Clark</x:v>
      </x:c>
      <x:c r="C9" s="22" t="str">
        <x:v>Mia</x:v>
      </x:c>
      <x:c r="D9" s="22" t="str">
        <x:v>Travel</x:v>
      </x:c>
      <x:c r="E9" s="43" t="n">
        <x:v>46268</x:v>
      </x:c>
      <x:c r="F9" s="24" t="n">
        <x:v>12000</x:v>
      </x:c>
      <x:c r="G9" s="44" t="n">
        <x:v>0.45</x:v>
      </x:c>
      <x:c r="H9" s="22" t="str">
        <x:v>Qualified</x:v>
      </x:c>
      <x:c r="I9" s="22" t="str">
        <x:v>Arrange demo</x:v>
      </x:c>
    </x:row>
  </x:sheetData>
  <x:conditionalFormatting sqref="G2:G10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{0DB291CC-A47B-D273-34E4-98BCD45EE34C}</x14:id>
        </x:ext>
      </x:extLst>
    </x:cfRule>
  </x:conditionalFormatting>
  <x:dataValidations count="1">
    <x:dataValidation type="list" sqref="H2:H100">
      <x:formula1>"Prospecting,Qualified,Proposal,Negotiation,Won,Lost"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B291CC-A47B-D273-34E4-98BCD45EE34C}">
            <x14:dataBar gradient="1">
              <x14:cfvo type="min"/>
              <x14:cfvo type="max"/>
              <x14:fillColor rgb="FFA02B93"/>
            </x14:dataBar>
          </x14:cfRule>
          <xm:sqref>G2:G100</xm:sqref>
        </x14:conditionalFormatting>
      </x14:conditionalFormattings>
    </x:ext>
  </x:extLst>
</x:worksheet>
</file>